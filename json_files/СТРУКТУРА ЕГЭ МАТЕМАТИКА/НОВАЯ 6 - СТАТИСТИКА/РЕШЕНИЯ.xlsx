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dl\Documents\GitHub\trenager_programs\json_files\СТРУКТУРА ЕГЭ МАТЕМАТИКА\НОВАЯ 7 - СТАТИСТИКА\"/>
    </mc:Choice>
  </mc:AlternateContent>
  <bookViews>
    <workbookView xWindow="0" yWindow="0" windowWidth="8460" windowHeight="706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1" i="1" l="1"/>
  <c r="D301" i="1"/>
  <c r="C301" i="1"/>
  <c r="G282" i="1"/>
  <c r="H280" i="1"/>
  <c r="G280" i="1"/>
  <c r="D279" i="1"/>
  <c r="C279" i="1"/>
  <c r="H274" i="1"/>
  <c r="G274" i="1"/>
  <c r="D274" i="1"/>
  <c r="C274" i="1"/>
  <c r="D217" i="1"/>
  <c r="E217" i="1"/>
  <c r="C217" i="1"/>
  <c r="E214" i="1"/>
  <c r="D214" i="1"/>
  <c r="C214" i="1"/>
  <c r="D212" i="1"/>
  <c r="E212" i="1"/>
  <c r="C212" i="1"/>
  <c r="D185" i="1"/>
  <c r="E185" i="1"/>
  <c r="C185" i="1"/>
  <c r="J184" i="1"/>
  <c r="D183" i="1"/>
  <c r="I184" i="1"/>
  <c r="E172" i="1"/>
  <c r="F172" i="1"/>
  <c r="G172" i="1"/>
  <c r="D172" i="1"/>
  <c r="J161" i="1"/>
  <c r="G161" i="1"/>
  <c r="E161" i="1"/>
  <c r="F161" i="1"/>
  <c r="D161" i="1"/>
  <c r="G160" i="1"/>
  <c r="F160" i="1"/>
  <c r="E160" i="1"/>
  <c r="D160" i="1"/>
  <c r="E148" i="1"/>
  <c r="F148" i="1"/>
  <c r="G148" i="1"/>
  <c r="H148" i="1"/>
  <c r="D148" i="1"/>
  <c r="H146" i="1"/>
  <c r="G146" i="1"/>
  <c r="F146" i="1"/>
  <c r="E146" i="1"/>
  <c r="D146" i="1"/>
  <c r="B133" i="1"/>
  <c r="H76" i="1"/>
  <c r="M67" i="1"/>
  <c r="A16" i="1"/>
</calcChain>
</file>

<file path=xl/sharedStrings.xml><?xml version="1.0" encoding="utf-8"?>
<sst xmlns="http://schemas.openxmlformats.org/spreadsheetml/2006/main" count="177" uniqueCount="119">
  <si>
    <t>Монету подбрасывают 6 раз.</t>
  </si>
  <si>
    <t>Найдите математическое ожидание количества выпавших орлов.</t>
  </si>
  <si>
    <t>6*0,5=3</t>
  </si>
  <si>
    <t>Кубик бросают 300 раз.</t>
  </si>
  <si>
    <t>Чему равно математическое ожидание числа выпавших единиц?</t>
  </si>
  <si>
    <t>300*(1/6)=50</t>
  </si>
  <si>
    <t>Баскетболист попадает в корзину с вероятностью 0,6.</t>
  </si>
  <si>
    <t>За игру он сделал 47 бросков.</t>
  </si>
  <si>
    <t>Чему равно математическое ожидание числа попаданий?</t>
  </si>
  <si>
    <t>Студент сдаёт зачёт по теории вероятностей до тех пор, пока не решит какую-нибудь задачу.</t>
  </si>
  <si>
    <t>Вероятность решения любой задачи этим студентом равна 0,2.</t>
  </si>
  <si>
    <t>Сколько задач в среднем он получит?</t>
  </si>
  <si>
    <t>Симметричную монету бросают до тех пор, пока решка и орёл не выпадут хотя бы по одному разу.</t>
  </si>
  <si>
    <t>Найдите математическое ожидание случайной величины «число сделанных бросков».</t>
  </si>
  <si>
    <t>1+2=3</t>
  </si>
  <si>
    <t>Игральный кубик бросают до тех пор, пока не выпадут хотя бы по одному разу чётное и нечётное число очков.</t>
  </si>
  <si>
    <t>Игральный кубик бросают до тех пор, пока два раза не выпадет чётное число очков, не обязательно подряд.</t>
  </si>
  <si>
    <t>2+2=4</t>
  </si>
  <si>
    <t>Игральный кубик бросают до тех пор, пока шестёрка не выпадет два раза, не обязательно подряд.</t>
  </si>
  <si>
    <t>6+6=12</t>
  </si>
  <si>
    <t>Стрелок в тире стреляет по мишеням.</t>
  </si>
  <si>
    <t>По каждой он стреляет до тех пор, пока не поразит её.</t>
  </si>
  <si>
    <t>При каждом отдельном выстреле стрелок попадает в мишень с вероятностью 0,05.</t>
  </si>
  <si>
    <t>Сколько потребуется выстрелов, чтобы поразить две мишени?</t>
  </si>
  <si>
    <t>Найдите математическое ожидание этой случайной величины.</t>
  </si>
  <si>
    <t>20+20=40</t>
  </si>
  <si>
    <t>В киндер-сюрпризах встречаются игрушки из коллекции автомобилей.</t>
  </si>
  <si>
    <t>Всего в коллекции 6 автомобильчиков, причём все они встречаются одинаково часто.</t>
  </si>
  <si>
    <t>Второклассник А. покупает киндер-сюрпризы.</t>
  </si>
  <si>
    <t>Правильную игральную кость бросают до тех пор, пока грани с 1, 2 и 3 очками не выпадут хотя бы по одному разу.</t>
  </si>
  <si>
    <t>Игральный кубик бросают до тех пор, пока не выпадут все шесть граней хотя бы по одному разу.</t>
  </si>
  <si>
    <t xml:space="preserve"> Найдите математическое ожидание числа сделанных бросков.</t>
  </si>
  <si>
    <t>Найдите математическое ожидание числа сделанных бросков.</t>
  </si>
  <si>
    <t>1</t>
  </si>
  <si>
    <t>5/6</t>
  </si>
  <si>
    <t>1/1,2</t>
  </si>
  <si>
    <t>4/6</t>
  </si>
  <si>
    <t>1/1,5</t>
  </si>
  <si>
    <t>3/6</t>
  </si>
  <si>
    <t>1/2</t>
  </si>
  <si>
    <t>2/6</t>
  </si>
  <si>
    <t>1/3</t>
  </si>
  <si>
    <t>1/6</t>
  </si>
  <si>
    <t xml:space="preserve">Сколько будет куплено киндер-сюрпризов к моменту, когда у А. </t>
  </si>
  <si>
    <t xml:space="preserve"> образуется полная коллекция, в которой есть все автомобильчики?</t>
  </si>
  <si>
    <t>6/6</t>
  </si>
  <si>
    <t>0,1+0,2+0,1+0,1</t>
  </si>
  <si>
    <t>0,5</t>
  </si>
  <si>
    <t>х</t>
  </si>
  <si>
    <t>Р</t>
  </si>
  <si>
    <t>20</t>
  </si>
  <si>
    <t>1000</t>
  </si>
  <si>
    <t>10000</t>
  </si>
  <si>
    <t>50000</t>
  </si>
  <si>
    <t>а1</t>
  </si>
  <si>
    <t>а2</t>
  </si>
  <si>
    <t>есть</t>
  </si>
  <si>
    <t>нет</t>
  </si>
  <si>
    <t>доход фирмы</t>
  </si>
  <si>
    <t>был</t>
  </si>
  <si>
    <t>не был</t>
  </si>
  <si>
    <t>x</t>
  </si>
  <si>
    <t>x-700</t>
  </si>
  <si>
    <t>0,02(x-700)+0,98*x=1</t>
  </si>
  <si>
    <t>0,02x-2*7+0,98x=1</t>
  </si>
  <si>
    <t>x-14=1</t>
  </si>
  <si>
    <t>P</t>
  </si>
  <si>
    <t>МО</t>
  </si>
  <si>
    <t>отклоение от МО</t>
  </si>
  <si>
    <t>квадрат</t>
  </si>
  <si>
    <t>а</t>
  </si>
  <si>
    <t>0+0,2а=МО</t>
  </si>
  <si>
    <t>0-(0+0,2a)</t>
  </si>
  <si>
    <t>a-(0+0,2a)</t>
  </si>
  <si>
    <t>отклонения</t>
  </si>
  <si>
    <t>квадрат откл.</t>
  </si>
  <si>
    <t>0,04a^2</t>
  </si>
  <si>
    <t>0,64a^2</t>
  </si>
  <si>
    <t>дисперсия</t>
  </si>
  <si>
    <t>1,44=0,8*0,04a^2+0,2*0,64a^2</t>
  </si>
  <si>
    <t>1,44=0,16a^2</t>
  </si>
  <si>
    <t>a^2=9</t>
  </si>
  <si>
    <t>a=3</t>
  </si>
  <si>
    <t>МО=0,2*3=0,6</t>
  </si>
  <si>
    <t>1-x</t>
  </si>
  <si>
    <t>x^2</t>
  </si>
  <si>
    <t>МО^2</t>
  </si>
  <si>
    <t>МО(x^2)</t>
  </si>
  <si>
    <t>a</t>
  </si>
  <si>
    <t>ax=0,2</t>
  </si>
  <si>
    <t>a^2</t>
  </si>
  <si>
    <t>0+xa^2</t>
  </si>
  <si>
    <t>МО(x^2)-МО(x)^2</t>
  </si>
  <si>
    <t>МО(x)^2</t>
  </si>
  <si>
    <t>xa^2-0,04=0,36</t>
  </si>
  <si>
    <t>xa^2=0,4</t>
  </si>
  <si>
    <t>xa*a=0,4</t>
  </si>
  <si>
    <t>0,2*a=0,4</t>
  </si>
  <si>
    <t>a=2</t>
  </si>
  <si>
    <t>дисперсия= МО(x^2)-МО(x)^2</t>
  </si>
  <si>
    <t>отклонение</t>
  </si>
  <si>
    <t>квадрат откл</t>
  </si>
  <si>
    <t>стандартное отклонение</t>
  </si>
  <si>
    <t>s=корень(дисперсии)</t>
  </si>
  <si>
    <t>МО=2</t>
  </si>
  <si>
    <t>МО(x^2)-(МО(x))^2</t>
  </si>
  <si>
    <t>МО(x^2)=8</t>
  </si>
  <si>
    <t>3а</t>
  </si>
  <si>
    <t>1,5а</t>
  </si>
  <si>
    <t>0,5а</t>
  </si>
  <si>
    <t>а=2</t>
  </si>
  <si>
    <t>МО(x^2)=20</t>
  </si>
  <si>
    <t>среднеквадратичное отклонение</t>
  </si>
  <si>
    <t>2а=4</t>
  </si>
  <si>
    <t>МО=4</t>
  </si>
  <si>
    <t>МО^2=16</t>
  </si>
  <si>
    <t>P(|x-4|&lt;4)&gt;=1-10/16</t>
  </si>
  <si>
    <t>МО(х)^2</t>
  </si>
  <si>
    <t>МО(х^2)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</si>
</sst>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00"/>
  </numFmts>
  <fonts count="5" x14ac:knownFonts="1">
    <font>
      <sz val="11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sz val="20"/>
      <color rgb="FF0F1115"/>
      <name val="Consolas"/>
      <family val="3"/>
      <charset val="204"/>
    </font>
    <font>
      <sz val="20"/>
      <color rgb="FF0F1115"/>
      <name val="Segoe UI"/>
      <family val="2"/>
      <charset val="204"/>
    </font>
    <font>
      <b/>
      <sz val="2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8" fontId="1" fillId="0" borderId="0" xfId="0" applyNumberFormat="1" applyFont="1" applyAlignment="1">
      <alignment horizontal="left"/>
    </xf>
    <xf numFmtId="168" fontId="2" fillId="0" borderId="0" xfId="0" applyNumberFormat="1" applyFont="1" applyAlignment="1">
      <alignment horizontal="left" vertical="center" indent="1"/>
    </xf>
    <xf numFmtId="168" fontId="3" fillId="0" borderId="0" xfId="0" applyNumberFormat="1" applyFont="1"/>
    <xf numFmtId="168" fontId="4" fillId="0" borderId="0" xfId="0" applyNumberFormat="1" applyFont="1" applyAlignment="1">
      <alignment horizontal="left"/>
    </xf>
    <xf numFmtId="168" fontId="1" fillId="0" borderId="0" xfId="0" applyNumberFormat="1" applyFont="1" applyAlignment="1">
      <alignment horizontal="right"/>
    </xf>
    <xf numFmtId="168" fontId="4" fillId="2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93</xdr:row>
      <xdr:rowOff>21772</xdr:rowOff>
    </xdr:from>
    <xdr:to>
      <xdr:col>5</xdr:col>
      <xdr:colOff>628840</xdr:colOff>
      <xdr:row>101</xdr:row>
      <xdr:rowOff>110610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197097"/>
          <a:ext cx="11077765" cy="27558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3</xdr:col>
      <xdr:colOff>2249005</xdr:colOff>
      <xdr:row>110</xdr:row>
      <xdr:rowOff>38291</xdr:rowOff>
    </xdr:to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509200"/>
          <a:ext cx="7916380" cy="13717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5</xdr:col>
      <xdr:colOff>649249</xdr:colOff>
      <xdr:row>121</xdr:row>
      <xdr:rowOff>266970</xdr:rowOff>
    </xdr:to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8842950"/>
          <a:ext cx="11098174" cy="19338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28575</xdr:rowOff>
    </xdr:from>
    <xdr:to>
      <xdr:col>3</xdr:col>
      <xdr:colOff>3144480</xdr:colOff>
      <xdr:row>131</xdr:row>
      <xdr:rowOff>47767</xdr:rowOff>
    </xdr:to>
    <xdr:pic>
      <xdr:nvPicPr>
        <xdr:cNvPr id="23" name="Рисунок 2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2872025"/>
          <a:ext cx="8811855" cy="10193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5</xdr:col>
      <xdr:colOff>496828</xdr:colOff>
      <xdr:row>142</xdr:row>
      <xdr:rowOff>305122</xdr:rowOff>
    </xdr:to>
    <xdr:pic>
      <xdr:nvPicPr>
        <xdr:cNvPr id="24" name="Рисунок 2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5510450"/>
          <a:ext cx="10945753" cy="23053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5</xdr:col>
      <xdr:colOff>601617</xdr:colOff>
      <xdr:row>157</xdr:row>
      <xdr:rowOff>143174</xdr:rowOff>
    </xdr:to>
    <xdr:pic>
      <xdr:nvPicPr>
        <xdr:cNvPr id="25" name="Рисунок 2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50511075"/>
          <a:ext cx="11050542" cy="2143424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163</xdr:row>
      <xdr:rowOff>190500</xdr:rowOff>
    </xdr:from>
    <xdr:to>
      <xdr:col>5</xdr:col>
      <xdr:colOff>649245</xdr:colOff>
      <xdr:row>167</xdr:row>
      <xdr:rowOff>295476</xdr:rowOff>
    </xdr:to>
    <xdr:pic>
      <xdr:nvPicPr>
        <xdr:cNvPr id="26" name="Рисунок 2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575" y="54702075"/>
          <a:ext cx="11069595" cy="1438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5</xdr:col>
      <xdr:colOff>639722</xdr:colOff>
      <xdr:row>180</xdr:row>
      <xdr:rowOff>38291</xdr:rowOff>
    </xdr:to>
    <xdr:pic>
      <xdr:nvPicPr>
        <xdr:cNvPr id="27" name="Рисунок 2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8845450"/>
          <a:ext cx="11088647" cy="1371791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187</xdr:row>
      <xdr:rowOff>85725</xdr:rowOff>
    </xdr:from>
    <xdr:to>
      <xdr:col>5</xdr:col>
      <xdr:colOff>353921</xdr:colOff>
      <xdr:row>191</xdr:row>
      <xdr:rowOff>66858</xdr:rowOff>
    </xdr:to>
    <xdr:pic>
      <xdr:nvPicPr>
        <xdr:cNvPr id="28" name="Рисунок 27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725" y="62598300"/>
          <a:ext cx="10717121" cy="13146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3</xdr:col>
      <xdr:colOff>1725057</xdr:colOff>
      <xdr:row>206</xdr:row>
      <xdr:rowOff>285883</xdr:rowOff>
    </xdr:to>
    <xdr:pic>
      <xdr:nvPicPr>
        <xdr:cNvPr id="29" name="Рисунок 28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68179950"/>
          <a:ext cx="7392432" cy="9526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4</xdr:col>
      <xdr:colOff>1163495</xdr:colOff>
      <xdr:row>228</xdr:row>
      <xdr:rowOff>114409</xdr:rowOff>
    </xdr:to>
    <xdr:pic>
      <xdr:nvPicPr>
        <xdr:cNvPr id="30" name="Рисунок 29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5514200"/>
          <a:ext cx="10355120" cy="7811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245</xdr:row>
      <xdr:rowOff>0</xdr:rowOff>
    </xdr:from>
    <xdr:to>
      <xdr:col>5</xdr:col>
      <xdr:colOff>77669</xdr:colOff>
      <xdr:row>247</xdr:row>
      <xdr:rowOff>19146</xdr:rowOff>
    </xdr:to>
    <xdr:pic>
      <xdr:nvPicPr>
        <xdr:cNvPr id="31" name="Рисунок 30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81848325"/>
          <a:ext cx="10526594" cy="6858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267</xdr:row>
      <xdr:rowOff>0</xdr:rowOff>
    </xdr:from>
    <xdr:to>
      <xdr:col>3</xdr:col>
      <xdr:colOff>3239743</xdr:colOff>
      <xdr:row>270</xdr:row>
      <xdr:rowOff>85877</xdr:rowOff>
    </xdr:to>
    <xdr:pic>
      <xdr:nvPicPr>
        <xdr:cNvPr id="32" name="Рисунок 3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89182575"/>
          <a:ext cx="8907118" cy="10860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287</xdr:row>
      <xdr:rowOff>0</xdr:rowOff>
    </xdr:from>
    <xdr:to>
      <xdr:col>3</xdr:col>
      <xdr:colOff>3325480</xdr:colOff>
      <xdr:row>289</xdr:row>
      <xdr:rowOff>9619</xdr:rowOff>
    </xdr:to>
    <xdr:pic>
      <xdr:nvPicPr>
        <xdr:cNvPr id="33" name="Рисунок 32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95850075"/>
          <a:ext cx="8992855" cy="676369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314</xdr:row>
      <xdr:rowOff>123825</xdr:rowOff>
    </xdr:from>
    <xdr:to>
      <xdr:col>2</xdr:col>
      <xdr:colOff>200465</xdr:colOff>
      <xdr:row>316</xdr:row>
      <xdr:rowOff>162023</xdr:rowOff>
    </xdr:to>
    <xdr:pic>
      <xdr:nvPicPr>
        <xdr:cNvPr id="34" name="Рисунок 33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38175" y="104975025"/>
          <a:ext cx="3153215" cy="704948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314</xdr:row>
      <xdr:rowOff>57150</xdr:rowOff>
    </xdr:from>
    <xdr:to>
      <xdr:col>3</xdr:col>
      <xdr:colOff>3267519</xdr:colOff>
      <xdr:row>316</xdr:row>
      <xdr:rowOff>47717</xdr:rowOff>
    </xdr:to>
    <xdr:pic>
      <xdr:nvPicPr>
        <xdr:cNvPr id="35" name="Рисунок 34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753100" y="104908350"/>
          <a:ext cx="3181794" cy="65731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316</xdr:row>
      <xdr:rowOff>257175</xdr:rowOff>
    </xdr:from>
    <xdr:to>
      <xdr:col>4</xdr:col>
      <xdr:colOff>534671</xdr:colOff>
      <xdr:row>318</xdr:row>
      <xdr:rowOff>285847</xdr:rowOff>
    </xdr:to>
    <xdr:pic>
      <xdr:nvPicPr>
        <xdr:cNvPr id="36" name="Рисунок 35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19125" y="105775125"/>
          <a:ext cx="9107171" cy="6954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325</xdr:row>
      <xdr:rowOff>0</xdr:rowOff>
    </xdr:from>
    <xdr:to>
      <xdr:col>5</xdr:col>
      <xdr:colOff>1135011</xdr:colOff>
      <xdr:row>327</xdr:row>
      <xdr:rowOff>47725</xdr:rowOff>
    </xdr:to>
    <xdr:pic>
      <xdr:nvPicPr>
        <xdr:cNvPr id="37" name="Рисунок 36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81025" y="108518325"/>
          <a:ext cx="11002911" cy="714475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466725</xdr:colOff>
      <xdr:row>330</xdr:row>
      <xdr:rowOff>95250</xdr:rowOff>
    </xdr:from>
    <xdr:to>
      <xdr:col>5</xdr:col>
      <xdr:colOff>420552</xdr:colOff>
      <xdr:row>333</xdr:row>
      <xdr:rowOff>152548</xdr:rowOff>
    </xdr:to>
    <xdr:pic>
      <xdr:nvPicPr>
        <xdr:cNvPr id="38" name="Рисунок 37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66725" y="110280450"/>
          <a:ext cx="10402752" cy="1057423"/>
        </a:xfrm>
        <a:prstGeom prst="rect">
          <a:avLst/>
        </a:prstGeom>
      </xdr:spPr>
    </xdr:pic>
    <xdr:clientData/>
  </xdr:twoCellAnchor>
  <xdr:twoCellAnchor editAs="oneCell">
    <xdr:from>
      <xdr:col>0</xdr:col>
      <xdr:colOff>485775</xdr:colOff>
      <xdr:row>336</xdr:row>
      <xdr:rowOff>142875</xdr:rowOff>
    </xdr:from>
    <xdr:to>
      <xdr:col>5</xdr:col>
      <xdr:colOff>944497</xdr:colOff>
      <xdr:row>339</xdr:row>
      <xdr:rowOff>162067</xdr:rowOff>
    </xdr:to>
    <xdr:pic>
      <xdr:nvPicPr>
        <xdr:cNvPr id="39" name="Рисунок 38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85775" y="112328325"/>
          <a:ext cx="10907647" cy="10193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5"/>
  <sheetViews>
    <sheetView tabSelected="1" topLeftCell="A336" zoomScaleNormal="100" workbookViewId="0">
      <selection activeCell="B347" sqref="B347"/>
    </sheetView>
  </sheetViews>
  <sheetFormatPr defaultRowHeight="26.25" x14ac:dyDescent="0.4"/>
  <cols>
    <col min="1" max="1" width="8.7109375" style="1" customWidth="1"/>
    <col min="2" max="2" width="45.140625" style="1" customWidth="1"/>
    <col min="3" max="3" width="31.140625" style="1" bestFit="1" customWidth="1"/>
    <col min="4" max="4" width="52.85546875" style="1" bestFit="1" customWidth="1"/>
    <col min="5" max="6" width="18.85546875" style="1" bestFit="1" customWidth="1"/>
    <col min="7" max="8" width="20.85546875" style="1" bestFit="1" customWidth="1"/>
    <col min="9" max="9" width="16.7109375" style="1" bestFit="1" customWidth="1"/>
    <col min="10" max="10" width="14.7109375" style="1" bestFit="1" customWidth="1"/>
    <col min="11" max="12" width="12.5703125" style="1" bestFit="1" customWidth="1"/>
    <col min="13" max="14" width="14.7109375" style="1" bestFit="1" customWidth="1"/>
    <col min="15" max="15" width="9.140625" style="1"/>
    <col min="16" max="16" width="12.5703125" style="1" bestFit="1" customWidth="1"/>
    <col min="17" max="18" width="9.140625" style="1"/>
    <col min="19" max="19" width="13.85546875" style="1" bestFit="1" customWidth="1"/>
    <col min="20" max="16384" width="9.140625" style="1"/>
  </cols>
  <sheetData>
    <row r="1" spans="1:1" x14ac:dyDescent="0.4">
      <c r="A1" s="1" t="s">
        <v>0</v>
      </c>
    </row>
    <row r="2" spans="1:1" x14ac:dyDescent="0.4">
      <c r="A2" s="1" t="s">
        <v>1</v>
      </c>
    </row>
    <row r="3" spans="1:1" x14ac:dyDescent="0.4">
      <c r="A3" s="1" t="s">
        <v>2</v>
      </c>
    </row>
    <row r="7" spans="1:1" x14ac:dyDescent="0.4">
      <c r="A7" s="1" t="s">
        <v>3</v>
      </c>
    </row>
    <row r="8" spans="1:1" x14ac:dyDescent="0.4">
      <c r="A8" s="1" t="s">
        <v>4</v>
      </c>
    </row>
    <row r="9" spans="1:1" x14ac:dyDescent="0.4">
      <c r="A9" s="1" t="s">
        <v>5</v>
      </c>
    </row>
    <row r="13" spans="1:1" x14ac:dyDescent="0.4">
      <c r="A13" s="2" t="s">
        <v>6</v>
      </c>
    </row>
    <row r="14" spans="1:1" x14ac:dyDescent="0.4">
      <c r="A14" s="2" t="s">
        <v>7</v>
      </c>
    </row>
    <row r="15" spans="1:1" x14ac:dyDescent="0.4">
      <c r="A15" s="2" t="s">
        <v>8</v>
      </c>
    </row>
    <row r="16" spans="1:1" x14ac:dyDescent="0.4">
      <c r="A16" s="1">
        <f>47*0.6</f>
        <v>28.2</v>
      </c>
    </row>
    <row r="20" spans="1:1" x14ac:dyDescent="0.4">
      <c r="A20" s="2" t="s">
        <v>9</v>
      </c>
    </row>
    <row r="21" spans="1:1" x14ac:dyDescent="0.4">
      <c r="A21" s="2" t="s">
        <v>10</v>
      </c>
    </row>
    <row r="22" spans="1:1" x14ac:dyDescent="0.4">
      <c r="A22" s="2" t="s">
        <v>11</v>
      </c>
    </row>
    <row r="23" spans="1:1" x14ac:dyDescent="0.4">
      <c r="A23" s="1">
        <v>5</v>
      </c>
    </row>
    <row r="26" spans="1:1" x14ac:dyDescent="0.4">
      <c r="A26" s="2" t="s">
        <v>12</v>
      </c>
    </row>
    <row r="27" spans="1:1" x14ac:dyDescent="0.4">
      <c r="A27" s="2" t="s">
        <v>13</v>
      </c>
    </row>
    <row r="28" spans="1:1" x14ac:dyDescent="0.4">
      <c r="A28" s="1" t="s">
        <v>14</v>
      </c>
    </row>
    <row r="31" spans="1:1" x14ac:dyDescent="0.4">
      <c r="A31" s="2" t="s">
        <v>15</v>
      </c>
    </row>
    <row r="32" spans="1:1" x14ac:dyDescent="0.4">
      <c r="A32" s="2" t="s">
        <v>13</v>
      </c>
    </row>
    <row r="34" spans="1:1" x14ac:dyDescent="0.4">
      <c r="A34" s="1" t="s">
        <v>14</v>
      </c>
    </row>
    <row r="37" spans="1:1" x14ac:dyDescent="0.4">
      <c r="A37" s="2" t="s">
        <v>16</v>
      </c>
    </row>
    <row r="38" spans="1:1" x14ac:dyDescent="0.4">
      <c r="A38" s="2" t="s">
        <v>13</v>
      </c>
    </row>
    <row r="40" spans="1:1" x14ac:dyDescent="0.4">
      <c r="A40" s="1" t="s">
        <v>17</v>
      </c>
    </row>
    <row r="43" spans="1:1" x14ac:dyDescent="0.4">
      <c r="A43" s="2" t="s">
        <v>18</v>
      </c>
    </row>
    <row r="44" spans="1:1" x14ac:dyDescent="0.4">
      <c r="A44" s="2" t="s">
        <v>13</v>
      </c>
    </row>
    <row r="45" spans="1:1" x14ac:dyDescent="0.4">
      <c r="A45" s="1" t="s">
        <v>19</v>
      </c>
    </row>
    <row r="47" spans="1:1" ht="30.75" x14ac:dyDescent="0.55000000000000004">
      <c r="A47" s="3"/>
    </row>
    <row r="50" spans="1:12" x14ac:dyDescent="0.4">
      <c r="A50" s="2" t="s">
        <v>20</v>
      </c>
    </row>
    <row r="51" spans="1:12" x14ac:dyDescent="0.4">
      <c r="A51" s="2" t="s">
        <v>21</v>
      </c>
    </row>
    <row r="52" spans="1:12" x14ac:dyDescent="0.4">
      <c r="A52" s="2" t="s">
        <v>22</v>
      </c>
    </row>
    <row r="53" spans="1:12" x14ac:dyDescent="0.4">
      <c r="A53" s="2" t="s">
        <v>23</v>
      </c>
    </row>
    <row r="54" spans="1:12" x14ac:dyDescent="0.4">
      <c r="A54" s="2" t="s">
        <v>24</v>
      </c>
    </row>
    <row r="55" spans="1:12" x14ac:dyDescent="0.4">
      <c r="A55" s="1" t="s">
        <v>25</v>
      </c>
    </row>
    <row r="57" spans="1:12" ht="30.75" x14ac:dyDescent="0.55000000000000004">
      <c r="A57" s="3" t="s">
        <v>30</v>
      </c>
    </row>
    <row r="58" spans="1:12" x14ac:dyDescent="0.4">
      <c r="A58" s="1" t="s">
        <v>31</v>
      </c>
    </row>
    <row r="60" spans="1:12" ht="30.75" x14ac:dyDescent="0.55000000000000004">
      <c r="A60" s="3" t="s">
        <v>30</v>
      </c>
    </row>
    <row r="61" spans="1:12" x14ac:dyDescent="0.4">
      <c r="A61" s="1" t="s">
        <v>32</v>
      </c>
    </row>
    <row r="63" spans="1:12" x14ac:dyDescent="0.4">
      <c r="B63" s="1" t="s">
        <v>33</v>
      </c>
      <c r="D63" s="1" t="s">
        <v>34</v>
      </c>
      <c r="F63" s="1" t="s">
        <v>36</v>
      </c>
      <c r="H63" s="1" t="s">
        <v>38</v>
      </c>
      <c r="J63" s="1" t="s">
        <v>40</v>
      </c>
      <c r="L63" s="1" t="s">
        <v>42</v>
      </c>
    </row>
    <row r="64" spans="1:12" x14ac:dyDescent="0.4">
      <c r="D64" s="1" t="s">
        <v>35</v>
      </c>
      <c r="F64" s="1" t="s">
        <v>37</v>
      </c>
      <c r="H64" s="1" t="s">
        <v>39</v>
      </c>
      <c r="J64" s="1" t="s">
        <v>41</v>
      </c>
      <c r="L64" s="1" t="s">
        <v>42</v>
      </c>
    </row>
    <row r="67" spans="1:13" x14ac:dyDescent="0.4">
      <c r="B67" s="1">
        <v>1</v>
      </c>
      <c r="D67" s="1">
        <v>1.2</v>
      </c>
      <c r="F67" s="1">
        <v>1.5</v>
      </c>
      <c r="H67" s="1">
        <v>2</v>
      </c>
      <c r="J67" s="1">
        <v>3</v>
      </c>
      <c r="L67" s="1">
        <v>6</v>
      </c>
      <c r="M67" s="4">
        <f>SUM(B67:L67)</f>
        <v>14.7</v>
      </c>
    </row>
    <row r="71" spans="1:13" x14ac:dyDescent="0.4">
      <c r="A71" s="2" t="s">
        <v>29</v>
      </c>
    </row>
    <row r="72" spans="1:13" x14ac:dyDescent="0.4">
      <c r="A72" s="2" t="s">
        <v>13</v>
      </c>
    </row>
    <row r="74" spans="1:13" x14ac:dyDescent="0.4">
      <c r="B74" s="1" t="s">
        <v>39</v>
      </c>
      <c r="D74" s="1" t="s">
        <v>41</v>
      </c>
      <c r="F74" s="1" t="s">
        <v>42</v>
      </c>
    </row>
    <row r="76" spans="1:13" x14ac:dyDescent="0.4">
      <c r="B76" s="1">
        <v>2</v>
      </c>
      <c r="D76" s="1">
        <v>3</v>
      </c>
      <c r="F76" s="1">
        <v>6</v>
      </c>
      <c r="H76" s="1">
        <f>SUM(B76:F77)</f>
        <v>11</v>
      </c>
    </row>
    <row r="79" spans="1:13" x14ac:dyDescent="0.4">
      <c r="A79" s="2" t="s">
        <v>26</v>
      </c>
    </row>
    <row r="80" spans="1:13" x14ac:dyDescent="0.4">
      <c r="A80" s="2" t="s">
        <v>27</v>
      </c>
    </row>
    <row r="81" spans="1:14" x14ac:dyDescent="0.4">
      <c r="A81" s="2" t="s">
        <v>28</v>
      </c>
    </row>
    <row r="82" spans="1:14" x14ac:dyDescent="0.4">
      <c r="A82" s="2" t="s">
        <v>43</v>
      </c>
    </row>
    <row r="83" spans="1:14" x14ac:dyDescent="0.4">
      <c r="A83" s="1" t="s">
        <v>44</v>
      </c>
    </row>
    <row r="84" spans="1:14" x14ac:dyDescent="0.4">
      <c r="A84" s="2" t="s">
        <v>24</v>
      </c>
    </row>
    <row r="86" spans="1:14" x14ac:dyDescent="0.4">
      <c r="B86" s="1" t="s">
        <v>45</v>
      </c>
      <c r="D86" s="1" t="s">
        <v>34</v>
      </c>
      <c r="F86" s="1" t="s">
        <v>36</v>
      </c>
      <c r="H86" s="1" t="s">
        <v>38</v>
      </c>
      <c r="J86" s="1" t="s">
        <v>40</v>
      </c>
      <c r="L86" s="1" t="s">
        <v>42</v>
      </c>
    </row>
    <row r="87" spans="1:14" x14ac:dyDescent="0.4">
      <c r="D87" s="1" t="s">
        <v>35</v>
      </c>
      <c r="F87" s="1" t="s">
        <v>37</v>
      </c>
      <c r="H87" s="1" t="s">
        <v>39</v>
      </c>
      <c r="J87" s="1" t="s">
        <v>41</v>
      </c>
      <c r="L87" s="1" t="s">
        <v>42</v>
      </c>
    </row>
    <row r="88" spans="1:14" x14ac:dyDescent="0.4">
      <c r="B88" s="1">
        <v>1</v>
      </c>
      <c r="D88" s="1">
        <v>1.2</v>
      </c>
      <c r="F88" s="1">
        <v>1.5</v>
      </c>
      <c r="H88" s="1">
        <v>2</v>
      </c>
      <c r="J88" s="1">
        <v>3</v>
      </c>
      <c r="L88" s="1">
        <v>6</v>
      </c>
      <c r="N88" s="1">
        <v>14.7</v>
      </c>
    </row>
    <row r="93" spans="1:14" x14ac:dyDescent="0.4">
      <c r="A93" s="2"/>
    </row>
    <row r="94" spans="1:14" x14ac:dyDescent="0.4">
      <c r="A94" s="2"/>
    </row>
    <row r="97" spans="1:8" x14ac:dyDescent="0.4">
      <c r="A97" s="2"/>
    </row>
    <row r="98" spans="1:8" x14ac:dyDescent="0.4">
      <c r="A98" s="2"/>
    </row>
    <row r="99" spans="1:8" x14ac:dyDescent="0.4">
      <c r="A99" s="2"/>
    </row>
    <row r="100" spans="1:8" x14ac:dyDescent="0.4">
      <c r="A100" s="2"/>
    </row>
    <row r="101" spans="1:8" x14ac:dyDescent="0.4">
      <c r="A101" s="2"/>
    </row>
    <row r="103" spans="1:8" x14ac:dyDescent="0.4">
      <c r="B103" s="1" t="s">
        <v>46</v>
      </c>
      <c r="F103" s="1" t="s">
        <v>47</v>
      </c>
    </row>
    <row r="105" spans="1:8" x14ac:dyDescent="0.4">
      <c r="A105" s="2"/>
    </row>
    <row r="106" spans="1:8" x14ac:dyDescent="0.4">
      <c r="A106" s="2"/>
    </row>
    <row r="108" spans="1:8" x14ac:dyDescent="0.4">
      <c r="A108" s="2"/>
    </row>
    <row r="109" spans="1:8" x14ac:dyDescent="0.4">
      <c r="A109" s="2"/>
    </row>
    <row r="110" spans="1:8" x14ac:dyDescent="0.4">
      <c r="A110" s="2"/>
    </row>
    <row r="111" spans="1:8" x14ac:dyDescent="0.4">
      <c r="A111" s="2"/>
    </row>
    <row r="112" spans="1:8" x14ac:dyDescent="0.4">
      <c r="B112" s="1">
        <v>0.05</v>
      </c>
      <c r="C112" s="1">
        <v>0.25</v>
      </c>
      <c r="D112" s="1">
        <v>0.1</v>
      </c>
      <c r="E112" s="1">
        <v>0.25</v>
      </c>
      <c r="H112" s="1">
        <v>0.65</v>
      </c>
    </row>
    <row r="117" spans="1:19" x14ac:dyDescent="0.4">
      <c r="A117" s="2"/>
    </row>
    <row r="118" spans="1:19" x14ac:dyDescent="0.4">
      <c r="A118" s="2"/>
    </row>
    <row r="124" spans="1:19" x14ac:dyDescent="0.4">
      <c r="H124" s="1">
        <v>-1.5</v>
      </c>
      <c r="K124" s="1">
        <v>0.2</v>
      </c>
      <c r="N124" s="1">
        <v>0.6</v>
      </c>
      <c r="P124" s="1">
        <v>0.6</v>
      </c>
      <c r="S124" s="1">
        <v>-0.1</v>
      </c>
    </row>
    <row r="133" spans="2:12" x14ac:dyDescent="0.4">
      <c r="B133" s="1">
        <f>0</f>
        <v>0</v>
      </c>
      <c r="C133" s="1">
        <v>0.25</v>
      </c>
      <c r="E133" s="1">
        <v>0.45</v>
      </c>
      <c r="G133" s="1">
        <v>0.5</v>
      </c>
      <c r="I133" s="1">
        <v>2.1</v>
      </c>
      <c r="L133" s="1">
        <v>3.3</v>
      </c>
    </row>
    <row r="145" spans="3:10" x14ac:dyDescent="0.4">
      <c r="C145" s="1" t="s">
        <v>48</v>
      </c>
      <c r="D145" s="1">
        <v>100</v>
      </c>
      <c r="E145" s="1">
        <v>1000</v>
      </c>
      <c r="F145" s="1">
        <v>5000</v>
      </c>
      <c r="G145" s="1">
        <v>10000</v>
      </c>
      <c r="H145" s="1">
        <v>50000</v>
      </c>
    </row>
    <row r="146" spans="3:10" x14ac:dyDescent="0.4">
      <c r="C146" s="1" t="s">
        <v>49</v>
      </c>
      <c r="D146" s="1">
        <f>1000/50000</f>
        <v>0.02</v>
      </c>
      <c r="E146" s="1">
        <f>100/50000</f>
        <v>2E-3</v>
      </c>
      <c r="F146" s="1">
        <f>50/50000</f>
        <v>1E-3</v>
      </c>
      <c r="G146" s="1">
        <f>10/50000</f>
        <v>2.0000000000000001E-4</v>
      </c>
      <c r="H146" s="1">
        <f>2/50000</f>
        <v>4.0000000000000003E-5</v>
      </c>
    </row>
    <row r="148" spans="3:10" x14ac:dyDescent="0.4">
      <c r="D148" s="1">
        <f>D145*D146</f>
        <v>2</v>
      </c>
      <c r="E148" s="1">
        <f t="shared" ref="E148:H148" si="0">E145*E146</f>
        <v>2</v>
      </c>
      <c r="F148" s="1">
        <f t="shared" si="0"/>
        <v>5</v>
      </c>
      <c r="G148" s="1">
        <f t="shared" si="0"/>
        <v>2</v>
      </c>
      <c r="H148" s="1">
        <f t="shared" si="0"/>
        <v>2</v>
      </c>
      <c r="J148" s="1">
        <v>13</v>
      </c>
    </row>
    <row r="159" spans="3:10" x14ac:dyDescent="0.4">
      <c r="C159" s="1" t="s">
        <v>48</v>
      </c>
      <c r="D159" s="1" t="s">
        <v>50</v>
      </c>
      <c r="E159" s="1" t="s">
        <v>51</v>
      </c>
      <c r="F159" s="1" t="s">
        <v>52</v>
      </c>
      <c r="G159" s="1" t="s">
        <v>53</v>
      </c>
    </row>
    <row r="160" spans="3:10" x14ac:dyDescent="0.4">
      <c r="C160" s="1" t="s">
        <v>49</v>
      </c>
      <c r="D160" s="1">
        <f>990/1000</f>
        <v>0.99</v>
      </c>
      <c r="E160" s="1">
        <f>5/1000</f>
        <v>5.0000000000000001E-3</v>
      </c>
      <c r="F160" s="1">
        <f>4/1000</f>
        <v>4.0000000000000001E-3</v>
      </c>
      <c r="G160" s="1">
        <f>1/1000</f>
        <v>1E-3</v>
      </c>
    </row>
    <row r="161" spans="3:10" x14ac:dyDescent="0.4">
      <c r="D161" s="1">
        <f>D159*D160</f>
        <v>19.8</v>
      </c>
      <c r="E161" s="1">
        <f t="shared" ref="E161:F161" si="1">E159*E160</f>
        <v>5</v>
      </c>
      <c r="F161" s="1">
        <f t="shared" si="1"/>
        <v>40</v>
      </c>
      <c r="G161" s="1">
        <f>G159*G160</f>
        <v>50</v>
      </c>
      <c r="I161" s="1">
        <v>114.8</v>
      </c>
      <c r="J161" s="4">
        <f>200-I161</f>
        <v>85.2</v>
      </c>
    </row>
    <row r="170" spans="3:10" x14ac:dyDescent="0.4">
      <c r="C170" s="1" t="s">
        <v>48</v>
      </c>
      <c r="D170" s="1">
        <v>0</v>
      </c>
      <c r="E170" s="1">
        <v>1</v>
      </c>
      <c r="F170" s="1">
        <v>9</v>
      </c>
      <c r="G170" s="1">
        <v>12</v>
      </c>
    </row>
    <row r="171" spans="3:10" x14ac:dyDescent="0.4">
      <c r="C171" s="1" t="s">
        <v>49</v>
      </c>
      <c r="D171" s="1">
        <v>0.72</v>
      </c>
      <c r="E171" s="1">
        <v>0.14000000000000001</v>
      </c>
      <c r="F171" s="1">
        <v>0.09</v>
      </c>
      <c r="G171" s="1">
        <v>0.05</v>
      </c>
    </row>
    <row r="172" spans="3:10" x14ac:dyDescent="0.4">
      <c r="D172" s="1">
        <f>D170*D171</f>
        <v>0</v>
      </c>
      <c r="E172" s="1">
        <f t="shared" ref="E172:G172" si="2">E170*E171</f>
        <v>0.14000000000000001</v>
      </c>
      <c r="F172" s="1">
        <f t="shared" si="2"/>
        <v>0.80999999999999994</v>
      </c>
      <c r="G172" s="1">
        <f t="shared" si="2"/>
        <v>0.60000000000000009</v>
      </c>
      <c r="I172" s="1">
        <v>1.55</v>
      </c>
    </row>
    <row r="181" spans="2:10" x14ac:dyDescent="0.4">
      <c r="I181" s="1" t="s">
        <v>56</v>
      </c>
      <c r="J181" s="1" t="s">
        <v>57</v>
      </c>
    </row>
    <row r="182" spans="2:10" x14ac:dyDescent="0.4">
      <c r="B182" s="1" t="s">
        <v>48</v>
      </c>
      <c r="C182" s="1">
        <v>0</v>
      </c>
      <c r="D182" s="1">
        <v>1</v>
      </c>
      <c r="E182" s="1">
        <v>2</v>
      </c>
      <c r="H182" s="1" t="s">
        <v>54</v>
      </c>
      <c r="I182" s="1">
        <v>0.8</v>
      </c>
      <c r="J182" s="1">
        <v>0.2</v>
      </c>
    </row>
    <row r="183" spans="2:10" x14ac:dyDescent="0.4">
      <c r="B183" s="1" t="s">
        <v>49</v>
      </c>
      <c r="C183" s="1">
        <v>0.32</v>
      </c>
      <c r="D183" s="1">
        <f>0.8*0.6+I183*J182</f>
        <v>0.56000000000000005</v>
      </c>
      <c r="E183" s="1">
        <v>0.12</v>
      </c>
      <c r="H183" s="1" t="s">
        <v>55</v>
      </c>
      <c r="I183" s="1">
        <v>0.4</v>
      </c>
      <c r="J183" s="1">
        <v>0.6</v>
      </c>
    </row>
    <row r="184" spans="2:10" x14ac:dyDescent="0.4">
      <c r="I184" s="1">
        <f>I182*I183</f>
        <v>0.32000000000000006</v>
      </c>
      <c r="J184" s="1">
        <f>J182*J183</f>
        <v>0.12</v>
      </c>
    </row>
    <row r="185" spans="2:10" x14ac:dyDescent="0.4">
      <c r="C185" s="1">
        <f>C182*C183</f>
        <v>0</v>
      </c>
      <c r="D185" s="1">
        <f t="shared" ref="D185:E185" si="3">D182*D183</f>
        <v>0.56000000000000005</v>
      </c>
      <c r="E185" s="1">
        <f t="shared" si="3"/>
        <v>0.24</v>
      </c>
    </row>
    <row r="187" spans="2:10" x14ac:dyDescent="0.4">
      <c r="E187" s="4">
        <v>0.8</v>
      </c>
    </row>
    <row r="193" spans="3:5" x14ac:dyDescent="0.4">
      <c r="D193" s="1" t="s">
        <v>59</v>
      </c>
      <c r="E193" s="1" t="s">
        <v>60</v>
      </c>
    </row>
    <row r="194" spans="3:5" x14ac:dyDescent="0.4">
      <c r="C194" s="5" t="s">
        <v>58</v>
      </c>
      <c r="D194" s="1" t="s">
        <v>62</v>
      </c>
      <c r="E194" s="1" t="s">
        <v>61</v>
      </c>
    </row>
    <row r="195" spans="3:5" x14ac:dyDescent="0.4">
      <c r="C195" s="5" t="s">
        <v>49</v>
      </c>
      <c r="D195" s="1">
        <v>0.02</v>
      </c>
      <c r="E195" s="1">
        <v>0.98</v>
      </c>
    </row>
    <row r="197" spans="3:5" x14ac:dyDescent="0.4">
      <c r="D197" s="1" t="s">
        <v>63</v>
      </c>
    </row>
    <row r="198" spans="3:5" x14ac:dyDescent="0.4">
      <c r="D198" s="1" t="s">
        <v>64</v>
      </c>
    </row>
    <row r="199" spans="3:5" x14ac:dyDescent="0.4">
      <c r="D199" s="1" t="s">
        <v>65</v>
      </c>
    </row>
    <row r="200" spans="3:5" x14ac:dyDescent="0.4">
      <c r="D200" s="1">
        <v>15</v>
      </c>
    </row>
    <row r="209" spans="2:7" x14ac:dyDescent="0.4">
      <c r="B209" s="1" t="s">
        <v>61</v>
      </c>
      <c r="C209" s="1">
        <v>1</v>
      </c>
      <c r="D209" s="1">
        <v>3</v>
      </c>
      <c r="E209" s="1">
        <v>5</v>
      </c>
    </row>
    <row r="210" spans="2:7" x14ac:dyDescent="0.4">
      <c r="B210" s="1" t="s">
        <v>66</v>
      </c>
      <c r="C210" s="1">
        <v>0.1</v>
      </c>
      <c r="D210" s="1">
        <v>0.8</v>
      </c>
      <c r="E210" s="1">
        <v>0.1</v>
      </c>
    </row>
    <row r="212" spans="2:7" x14ac:dyDescent="0.4">
      <c r="B212" s="1" t="s">
        <v>67</v>
      </c>
      <c r="C212" s="1">
        <f>C209*C210</f>
        <v>0.1</v>
      </c>
      <c r="D212" s="1">
        <f t="shared" ref="D212:E212" si="4">D209*D210</f>
        <v>2.4000000000000004</v>
      </c>
      <c r="E212" s="1">
        <f t="shared" si="4"/>
        <v>0.5</v>
      </c>
      <c r="G212" s="1">
        <v>3</v>
      </c>
    </row>
    <row r="214" spans="2:7" x14ac:dyDescent="0.4">
      <c r="B214" s="1" t="s">
        <v>68</v>
      </c>
      <c r="C214" s="1">
        <f>C209-G212</f>
        <v>-2</v>
      </c>
      <c r="D214" s="1">
        <f>D209-G212</f>
        <v>0</v>
      </c>
      <c r="E214" s="1">
        <f>E209-G212</f>
        <v>2</v>
      </c>
    </row>
    <row r="215" spans="2:7" x14ac:dyDescent="0.4">
      <c r="B215" s="4" t="s">
        <v>69</v>
      </c>
      <c r="C215" s="4">
        <v>4</v>
      </c>
      <c r="D215" s="4">
        <v>0</v>
      </c>
      <c r="E215" s="4">
        <v>4</v>
      </c>
    </row>
    <row r="216" spans="2:7" x14ac:dyDescent="0.4">
      <c r="B216" s="1" t="s">
        <v>66</v>
      </c>
      <c r="C216" s="1">
        <v>0.1</v>
      </c>
      <c r="D216" s="1">
        <v>0.8</v>
      </c>
      <c r="E216" s="1">
        <v>0.1</v>
      </c>
    </row>
    <row r="217" spans="2:7" x14ac:dyDescent="0.4">
      <c r="C217" s="1">
        <f>C215*C216</f>
        <v>0.4</v>
      </c>
      <c r="D217" s="1">
        <f t="shared" ref="D217:E217" si="5">D215*D216</f>
        <v>0</v>
      </c>
      <c r="E217" s="1">
        <f t="shared" si="5"/>
        <v>0.4</v>
      </c>
      <c r="G217" s="1">
        <v>0.8</v>
      </c>
    </row>
    <row r="230" spans="3:5" x14ac:dyDescent="0.4">
      <c r="C230" s="1" t="s">
        <v>48</v>
      </c>
      <c r="D230" s="1">
        <v>0</v>
      </c>
      <c r="E230" s="1" t="s">
        <v>70</v>
      </c>
    </row>
    <row r="231" spans="3:5" x14ac:dyDescent="0.4">
      <c r="C231" s="1" t="s">
        <v>49</v>
      </c>
      <c r="D231" s="1">
        <v>0.8</v>
      </c>
      <c r="E231" s="1">
        <v>0.2</v>
      </c>
    </row>
    <row r="232" spans="3:5" x14ac:dyDescent="0.4">
      <c r="D232" s="4" t="s">
        <v>71</v>
      </c>
    </row>
    <row r="234" spans="3:5" x14ac:dyDescent="0.4">
      <c r="C234" s="1" t="s">
        <v>74</v>
      </c>
      <c r="D234" s="1" t="s">
        <v>72</v>
      </c>
      <c r="E234" s="1" t="s">
        <v>73</v>
      </c>
    </row>
    <row r="235" spans="3:5" x14ac:dyDescent="0.4">
      <c r="C235" s="4" t="s">
        <v>75</v>
      </c>
      <c r="D235" s="4" t="s">
        <v>76</v>
      </c>
      <c r="E235" s="4" t="s">
        <v>77</v>
      </c>
    </row>
    <row r="236" spans="3:5" x14ac:dyDescent="0.4">
      <c r="C236" s="1" t="s">
        <v>49</v>
      </c>
      <c r="D236" s="1">
        <v>0.8</v>
      </c>
      <c r="E236" s="1">
        <v>0.2</v>
      </c>
    </row>
    <row r="237" spans="3:5" x14ac:dyDescent="0.4">
      <c r="C237" s="1" t="s">
        <v>78</v>
      </c>
      <c r="D237" s="1" t="s">
        <v>79</v>
      </c>
    </row>
    <row r="238" spans="3:5" x14ac:dyDescent="0.4">
      <c r="D238" s="1" t="s">
        <v>80</v>
      </c>
    </row>
    <row r="239" spans="3:5" x14ac:dyDescent="0.4">
      <c r="D239" s="1" t="s">
        <v>81</v>
      </c>
    </row>
    <row r="240" spans="3:5" x14ac:dyDescent="0.4">
      <c r="D240" s="1" t="s">
        <v>82</v>
      </c>
    </row>
    <row r="241" spans="3:6" x14ac:dyDescent="0.4">
      <c r="D241" s="1" t="s">
        <v>83</v>
      </c>
    </row>
    <row r="249" spans="3:6" x14ac:dyDescent="0.4">
      <c r="C249" s="1" t="s">
        <v>48</v>
      </c>
      <c r="D249" s="1">
        <v>0</v>
      </c>
      <c r="E249" s="1" t="s">
        <v>88</v>
      </c>
    </row>
    <row r="250" spans="3:6" x14ac:dyDescent="0.4">
      <c r="C250" s="1" t="s">
        <v>49</v>
      </c>
      <c r="D250" s="1" t="s">
        <v>84</v>
      </c>
      <c r="E250" s="1" t="s">
        <v>61</v>
      </c>
    </row>
    <row r="251" spans="3:6" x14ac:dyDescent="0.4">
      <c r="C251" s="1" t="s">
        <v>67</v>
      </c>
      <c r="D251" s="6" t="s">
        <v>89</v>
      </c>
      <c r="F251" s="1" t="s">
        <v>99</v>
      </c>
    </row>
    <row r="252" spans="3:6" x14ac:dyDescent="0.4">
      <c r="C252" s="4" t="s">
        <v>93</v>
      </c>
      <c r="D252" s="1">
        <v>0.04</v>
      </c>
    </row>
    <row r="254" spans="3:6" x14ac:dyDescent="0.4">
      <c r="C254" s="1" t="s">
        <v>85</v>
      </c>
      <c r="D254" s="4">
        <v>0</v>
      </c>
      <c r="E254" s="4" t="s">
        <v>90</v>
      </c>
    </row>
    <row r="255" spans="3:6" x14ac:dyDescent="0.4">
      <c r="C255" s="1" t="s">
        <v>49</v>
      </c>
      <c r="D255" s="1" t="s">
        <v>84</v>
      </c>
      <c r="E255" s="1" t="s">
        <v>61</v>
      </c>
    </row>
    <row r="256" spans="3:6" x14ac:dyDescent="0.4">
      <c r="C256" s="4" t="s">
        <v>87</v>
      </c>
      <c r="D256" s="4" t="s">
        <v>91</v>
      </c>
    </row>
    <row r="258" spans="2:8" x14ac:dyDescent="0.4">
      <c r="C258" s="1" t="s">
        <v>78</v>
      </c>
    </row>
    <row r="259" spans="2:8" x14ac:dyDescent="0.4">
      <c r="C259" s="4" t="s">
        <v>92</v>
      </c>
      <c r="D259" s="1" t="s">
        <v>94</v>
      </c>
    </row>
    <row r="260" spans="2:8" x14ac:dyDescent="0.4">
      <c r="D260" s="1" t="s">
        <v>95</v>
      </c>
    </row>
    <row r="261" spans="2:8" x14ac:dyDescent="0.4">
      <c r="D261" s="1" t="s">
        <v>96</v>
      </c>
    </row>
    <row r="262" spans="2:8" x14ac:dyDescent="0.4">
      <c r="D262" s="1" t="s">
        <v>97</v>
      </c>
    </row>
    <row r="263" spans="2:8" x14ac:dyDescent="0.4">
      <c r="D263" s="1" t="s">
        <v>98</v>
      </c>
    </row>
    <row r="269" spans="2:8" x14ac:dyDescent="0.4">
      <c r="F269" s="1" t="s">
        <v>103</v>
      </c>
    </row>
    <row r="271" spans="2:8" x14ac:dyDescent="0.4">
      <c r="F271" s="1" t="s">
        <v>105</v>
      </c>
    </row>
    <row r="272" spans="2:8" x14ac:dyDescent="0.4">
      <c r="B272" s="1" t="s">
        <v>61</v>
      </c>
      <c r="C272" s="1">
        <v>0</v>
      </c>
      <c r="D272" s="1">
        <v>4</v>
      </c>
      <c r="F272" s="1" t="s">
        <v>61</v>
      </c>
      <c r="G272" s="1">
        <v>0</v>
      </c>
      <c r="H272" s="1">
        <v>4</v>
      </c>
    </row>
    <row r="273" spans="2:8" x14ac:dyDescent="0.4">
      <c r="B273" s="1" t="s">
        <v>66</v>
      </c>
      <c r="C273" s="1">
        <v>0.5</v>
      </c>
      <c r="D273" s="1">
        <v>0.5</v>
      </c>
      <c r="F273" s="1" t="s">
        <v>66</v>
      </c>
      <c r="G273" s="1">
        <v>0.5</v>
      </c>
      <c r="H273" s="1">
        <v>0.5</v>
      </c>
    </row>
    <row r="274" spans="2:8" x14ac:dyDescent="0.4">
      <c r="B274" s="1" t="s">
        <v>104</v>
      </c>
      <c r="C274" s="1">
        <f>C272*C273</f>
        <v>0</v>
      </c>
      <c r="D274" s="1">
        <f>D272*D273</f>
        <v>2</v>
      </c>
      <c r="F274" s="1" t="s">
        <v>104</v>
      </c>
      <c r="G274" s="1">
        <f>G272*G273</f>
        <v>0</v>
      </c>
      <c r="H274" s="1">
        <f>H272*H273</f>
        <v>2</v>
      </c>
    </row>
    <row r="275" spans="2:8" x14ac:dyDescent="0.4">
      <c r="F275" s="1" t="s">
        <v>86</v>
      </c>
      <c r="G275" s="1">
        <v>4</v>
      </c>
    </row>
    <row r="276" spans="2:8" x14ac:dyDescent="0.4">
      <c r="B276" s="1" t="s">
        <v>100</v>
      </c>
      <c r="C276" s="1">
        <v>2</v>
      </c>
      <c r="D276" s="1">
        <v>2</v>
      </c>
    </row>
    <row r="277" spans="2:8" x14ac:dyDescent="0.4">
      <c r="B277" s="1" t="s">
        <v>101</v>
      </c>
      <c r="C277" s="1">
        <v>4</v>
      </c>
      <c r="D277" s="1">
        <v>4</v>
      </c>
    </row>
    <row r="278" spans="2:8" x14ac:dyDescent="0.4">
      <c r="B278" s="1" t="s">
        <v>66</v>
      </c>
      <c r="C278" s="1">
        <v>0.5</v>
      </c>
      <c r="D278" s="1">
        <v>0.5</v>
      </c>
      <c r="F278" s="1" t="s">
        <v>85</v>
      </c>
      <c r="G278" s="1">
        <v>0</v>
      </c>
      <c r="H278" s="1">
        <v>16</v>
      </c>
    </row>
    <row r="279" spans="2:8" x14ac:dyDescent="0.4">
      <c r="B279" s="1" t="s">
        <v>78</v>
      </c>
      <c r="C279" s="1">
        <f>C277*C278</f>
        <v>2</v>
      </c>
      <c r="D279" s="1">
        <f>D277*D278</f>
        <v>2</v>
      </c>
      <c r="F279" s="1" t="s">
        <v>66</v>
      </c>
      <c r="G279" s="1">
        <v>0.5</v>
      </c>
      <c r="H279" s="1">
        <v>0.5</v>
      </c>
    </row>
    <row r="280" spans="2:8" x14ac:dyDescent="0.4">
      <c r="F280" s="1" t="s">
        <v>106</v>
      </c>
      <c r="G280" s="1">
        <f>G279*G278</f>
        <v>0</v>
      </c>
      <c r="H280" s="1">
        <f>H279*H278</f>
        <v>8</v>
      </c>
    </row>
    <row r="281" spans="2:8" x14ac:dyDescent="0.4">
      <c r="B281" s="1" t="s">
        <v>102</v>
      </c>
      <c r="C281" s="1">
        <v>2</v>
      </c>
    </row>
    <row r="282" spans="2:8" x14ac:dyDescent="0.4">
      <c r="F282" s="1" t="s">
        <v>78</v>
      </c>
      <c r="G282" s="1">
        <f>8-4</f>
        <v>4</v>
      </c>
    </row>
    <row r="283" spans="2:8" x14ac:dyDescent="0.4">
      <c r="F283" s="1" t="s">
        <v>102</v>
      </c>
      <c r="H283" s="1">
        <v>2</v>
      </c>
    </row>
    <row r="292" spans="2:5" x14ac:dyDescent="0.4">
      <c r="B292" s="1" t="s">
        <v>48</v>
      </c>
      <c r="C292" s="1" t="s">
        <v>70</v>
      </c>
      <c r="D292" s="1" t="s">
        <v>107</v>
      </c>
    </row>
    <row r="293" spans="2:5" x14ac:dyDescent="0.4">
      <c r="B293" s="1" t="s">
        <v>49</v>
      </c>
      <c r="C293" s="1">
        <v>0.5</v>
      </c>
      <c r="D293" s="1">
        <v>0.5</v>
      </c>
    </row>
    <row r="294" spans="2:5" x14ac:dyDescent="0.4">
      <c r="B294" s="4" t="s">
        <v>114</v>
      </c>
      <c r="C294" s="1" t="s">
        <v>109</v>
      </c>
      <c r="D294" s="1" t="s">
        <v>108</v>
      </c>
      <c r="E294" s="1" t="s">
        <v>113</v>
      </c>
    </row>
    <row r="295" spans="2:5" x14ac:dyDescent="0.4">
      <c r="E295" s="1" t="s">
        <v>110</v>
      </c>
    </row>
    <row r="297" spans="2:5" x14ac:dyDescent="0.4">
      <c r="B297" s="4" t="s">
        <v>115</v>
      </c>
    </row>
    <row r="299" spans="2:5" x14ac:dyDescent="0.4">
      <c r="B299" s="1" t="s">
        <v>85</v>
      </c>
      <c r="C299" s="1">
        <v>4</v>
      </c>
      <c r="D299" s="1">
        <v>36</v>
      </c>
    </row>
    <row r="300" spans="2:5" x14ac:dyDescent="0.4">
      <c r="B300" s="1" t="s">
        <v>49</v>
      </c>
      <c r="C300" s="1">
        <v>0.5</v>
      </c>
      <c r="D300" s="1">
        <v>0.5</v>
      </c>
    </row>
    <row r="301" spans="2:5" x14ac:dyDescent="0.4">
      <c r="B301" s="4" t="s">
        <v>111</v>
      </c>
      <c r="C301" s="1">
        <f>C299*C300</f>
        <v>2</v>
      </c>
      <c r="D301" s="1">
        <f>D299*D300</f>
        <v>18</v>
      </c>
    </row>
    <row r="303" spans="2:5" x14ac:dyDescent="0.4">
      <c r="B303" s="1" t="s">
        <v>78</v>
      </c>
      <c r="C303" s="1">
        <v>4</v>
      </c>
    </row>
    <row r="304" spans="2:5" x14ac:dyDescent="0.4">
      <c r="B304" s="1" t="s">
        <v>112</v>
      </c>
      <c r="C304" s="1">
        <v>2</v>
      </c>
    </row>
    <row r="321" spans="2:4" x14ac:dyDescent="0.4">
      <c r="B321" s="1" t="s">
        <v>116</v>
      </c>
      <c r="C321" s="1">
        <v>0.375</v>
      </c>
      <c r="D321" s="1">
        <v>0.375</v>
      </c>
    </row>
    <row r="329" spans="2:4" x14ac:dyDescent="0.4">
      <c r="B329" s="1">
        <v>0.4</v>
      </c>
    </row>
    <row r="335" spans="2:4" x14ac:dyDescent="0.4">
      <c r="B335" s="1">
        <v>0.36</v>
      </c>
    </row>
    <row r="341" spans="2:2" x14ac:dyDescent="0.4">
      <c r="B341" s="1">
        <f>0.004*0.004/(0.008*0.008)</f>
        <v>0.25</v>
      </c>
    </row>
    <row r="344" spans="2:2" x14ac:dyDescent="0.4">
      <c r="B344" s="1" t="s">
        <v>117</v>
      </c>
    </row>
    <row r="345" spans="2:2" x14ac:dyDescent="0.4">
      <c r="B345" s="1" t="s">
        <v>118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Vadim Subbotin</dc:creator>
  <cp:lastModifiedBy>Vadim Subbotin</cp:lastModifiedBy>
  <dcterms:created xsi:type="dcterms:W3CDTF">2026-09-24T04:30:13Z</dcterms:created>
  <dcterms:modified xsi:type="dcterms:W3CDTF">2026-09-24T07:33:44Z</dcterms:modified>
</cp:coreProperties>
</file>